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emand Profile" sheetId="2" state="visible" r:id="rId2"/>
    <sheet xmlns:r="http://schemas.openxmlformats.org/officeDocument/2006/relationships" name="ABC-XYZ Matrix" sheetId="3" state="visible" r:id="rId3"/>
    <sheet xmlns:r="http://schemas.openxmlformats.org/officeDocument/2006/relationships" name="Safety Stock Calculator" sheetId="4" state="visible" r:id="rId4"/>
    <sheet xmlns:r="http://schemas.openxmlformats.org/officeDocument/2006/relationships" name="Cost Tradeoff" sheetId="5" state="visible" r:id="rId5"/>
    <sheet xmlns:r="http://schemas.openxmlformats.org/officeDocument/2006/relationships" name="Promotion Adju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Mean Demand vs. Avg CV, by Cell</a:t>
            </a:r>
          </a:p>
        </rich>
      </tx>
    </title>
    <plotArea>
      <scatterChart>
        <ser>
          <idx val="0"/>
          <order val="0"/>
          <tx>
            <strRef>
              <f>'Demand Profile'!D4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pPr>
              <a:ln xmlns:a="http://schemas.openxmlformats.org/drawingml/2006/main">
                <a:prstDash val="solid"/>
              </a:ln>
            </spPr>
          </marker>
          <xVal>
            <numRef>
              <f>'Demand Profile'!$E$5:$E$13</f>
            </numRef>
          </xVal>
          <yVal>
            <numRef>
              <f>'Demand Profile'!$D$5:$D$13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CV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Mean Demand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Holding Cost vs. Service Level</a:t>
            </a:r>
          </a:p>
        </rich>
      </tx>
    </title>
    <plotArea>
      <scatterChart>
        <ser>
          <idx val="0"/>
          <order val="0"/>
          <tx>
            <strRef>
              <f>'Cost Tradeoff'!D7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'Cost Tradeoff'!$A$8:$A$47</f>
            </numRef>
          </xVal>
          <yVal>
            <numRef>
              <f>'Cost Tradeoff'!$D$8:$D$47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Service Level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Holding 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HC Increase by Family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'Promotion Adjustments'!G4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'Promotion Adjustments'!$A$5:$A$14</f>
            </numRef>
          </cat>
          <val>
            <numRef>
              <f>'Promotion Adjustments'!$G$5:$G$14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Holding cost increase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  <col width="4" customWidth="1" min="4" max="4"/>
    <col width="6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Inventory Optimization Model — Configuration</t>
        </is>
      </c>
    </row>
    <row r="2" ht="30" customHeight="1">
      <c r="A2" s="2" t="inlineStr">
        <is>
          <t>Full 125M-row Corporación Favorita dataset, all 54 stores, 2013-01-01 to 2017-08-15, 166,720 classified SKU-store pairs. ABC-XYZ differentiated inventory policy, aggregated to the 9-cell level (not per-SKU — see README for why). All downstream tabs are LIVE formulas off the two inputs below.</t>
        </is>
      </c>
    </row>
    <row r="4">
      <c r="A4" s="3" t="inlineStr">
        <is>
          <t>Global inputs</t>
        </is>
      </c>
    </row>
    <row r="5">
      <c r="A5" t="inlineStr">
        <is>
          <t>Lead time (days)</t>
        </is>
      </c>
      <c r="B5" t="n">
        <v>7</v>
      </c>
      <c r="C5" t="inlineStr">
        <is>
          <t>Days between placing and receiving a replenishment order. Sensitivity tested at 3/5/7/10.</t>
        </is>
      </c>
    </row>
    <row r="6">
      <c r="A6" t="inlineStr">
        <is>
          <t>Holding cost rate (annual)</t>
        </is>
      </c>
      <c r="B6" t="n">
        <v>0.22</v>
      </c>
      <c r="C6" t="inlineStr">
        <is>
          <t>Annual carrying cost as a fraction of unit cost (22%).</t>
        </is>
      </c>
    </row>
    <row r="8">
      <c r="A8" s="3" t="inlineStr">
        <is>
          <t>Unit cost note</t>
        </is>
      </c>
    </row>
    <row r="9">
      <c r="A9" s="4" t="inlineStr">
        <is>
          <t>The Favorita dataset has no true unit cost. unit_cost is a proxy = 1.0, so holding cost is expressed in a unit-cost-proxy currency. Swap in real costs to get money values.</t>
        </is>
      </c>
    </row>
    <row r="11">
      <c r="E11" s="3" t="inlineStr">
        <is>
          <t>9-Cell Service-Level Policy (VLOOKUP source)</t>
        </is>
      </c>
    </row>
    <row r="12">
      <c r="E12" s="3" t="inlineStr">
        <is>
          <t>Cell</t>
        </is>
      </c>
      <c r="F12" s="3" t="inlineStr">
        <is>
          <t>Service Level</t>
        </is>
      </c>
      <c r="G12" s="3" t="inlineStr">
        <is>
          <t>z-score (NORM.S.INV)</t>
        </is>
      </c>
    </row>
    <row r="13">
      <c r="E13" t="inlineStr">
        <is>
          <t>AX</t>
        </is>
      </c>
      <c r="F13" t="n">
        <v>0.99</v>
      </c>
      <c r="G13">
        <f>NORM.S.INV(F13)</f>
        <v/>
      </c>
    </row>
    <row r="14">
      <c r="E14" t="inlineStr">
        <is>
          <t>AY</t>
        </is>
      </c>
      <c r="F14" t="n">
        <v>0.97</v>
      </c>
      <c r="G14">
        <f>NORM.S.INV(F14)</f>
        <v/>
      </c>
    </row>
    <row r="15">
      <c r="E15" t="inlineStr">
        <is>
          <t>AZ</t>
        </is>
      </c>
      <c r="F15" t="n">
        <v>0.95</v>
      </c>
      <c r="G15">
        <f>NORM.S.INV(F15)</f>
        <v/>
      </c>
    </row>
    <row r="16">
      <c r="E16" t="inlineStr">
        <is>
          <t>BX</t>
        </is>
      </c>
      <c r="F16" t="n">
        <v>0.95</v>
      </c>
      <c r="G16">
        <f>NORM.S.INV(F16)</f>
        <v/>
      </c>
    </row>
    <row r="17">
      <c r="E17" t="inlineStr">
        <is>
          <t>BY</t>
        </is>
      </c>
      <c r="F17" t="n">
        <v>0.93</v>
      </c>
      <c r="G17">
        <f>NORM.S.INV(F17)</f>
        <v/>
      </c>
    </row>
    <row r="18">
      <c r="E18" t="inlineStr">
        <is>
          <t>BZ</t>
        </is>
      </c>
      <c r="F18" t="n">
        <v>0.9</v>
      </c>
      <c r="G18">
        <f>NORM.S.INV(F18)</f>
        <v/>
      </c>
    </row>
    <row r="19">
      <c r="E19" t="inlineStr">
        <is>
          <t>CX</t>
        </is>
      </c>
      <c r="F19" t="n">
        <v>0.9</v>
      </c>
      <c r="G19">
        <f>NORM.S.INV(F19)</f>
        <v/>
      </c>
    </row>
    <row r="20">
      <c r="E20" t="inlineStr">
        <is>
          <t>CY</t>
        </is>
      </c>
      <c r="F20" t="n">
        <v>0.88</v>
      </c>
      <c r="G20">
        <f>NORM.S.INV(F20)</f>
        <v/>
      </c>
    </row>
    <row r="21">
      <c r="E21" t="inlineStr">
        <is>
          <t>CZ</t>
        </is>
      </c>
      <c r="F21" t="n">
        <v>0.85</v>
      </c>
      <c r="G21">
        <f>NORM.S.INV(F21)</f>
        <v/>
      </c>
    </row>
  </sheetData>
  <mergeCells count="2">
    <mergeCell ref="A2:H2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0" customWidth="1" min="5" max="5"/>
    <col width="10" customWidth="1" min="6" max="6"/>
  </cols>
  <sheetData>
    <row r="1">
      <c r="A1" s="1" t="inlineStr">
        <is>
          <t>Demand Profile — 9-Cell Aggregate</t>
        </is>
      </c>
    </row>
    <row r="2">
      <c r="A2" s="2" t="inlineStr">
        <is>
          <t>Avg demand/CV per ABC-XYZ cell, all 166,720 classified SKU-store pairs collapsed to 9 rows (was one row per SKU pre-125M-row migration — see CHANGELOG). CV conditionally colored: green=low variability (X), red=high (Z).</t>
        </is>
      </c>
    </row>
    <row r="4">
      <c r="A4" s="5" t="inlineStr">
        <is>
          <t>Cell</t>
        </is>
      </c>
      <c r="B4" s="5" t="inlineStr">
        <is>
          <t>SKU Count</t>
        </is>
      </c>
      <c r="C4" s="5" t="inlineStr">
        <is>
          <t>Total Revenue</t>
        </is>
      </c>
      <c r="D4" s="5" t="inlineStr">
        <is>
          <t>Avg Mean Demand</t>
        </is>
      </c>
      <c r="E4" s="5" t="inlineStr">
        <is>
          <t>Avg CV</t>
        </is>
      </c>
      <c r="F4" s="5" t="inlineStr">
        <is>
          <t>XYZ Class</t>
        </is>
      </c>
    </row>
    <row r="5">
      <c r="A5" t="inlineStr">
        <is>
          <t>AX</t>
        </is>
      </c>
      <c r="B5" t="n">
        <v>4844</v>
      </c>
      <c r="C5" t="n">
        <v>182027991.9942091</v>
      </c>
      <c r="D5" t="n">
        <v>33.4863</v>
      </c>
      <c r="E5" t="n">
        <v>0.4356</v>
      </c>
      <c r="F5" t="inlineStr">
        <is>
          <t>X</t>
        </is>
      </c>
    </row>
    <row r="6">
      <c r="A6" t="inlineStr">
        <is>
          <t>AY</t>
        </is>
      </c>
      <c r="B6" t="n">
        <v>42527</v>
      </c>
      <c r="C6" t="n">
        <v>566936408.0458922</v>
      </c>
      <c r="D6" t="n">
        <v>11.4569</v>
      </c>
      <c r="E6" t="n">
        <v>0.7062</v>
      </c>
      <c r="F6" t="inlineStr">
        <is>
          <t>Y</t>
        </is>
      </c>
    </row>
    <row r="7">
      <c r="A7" t="inlineStr">
        <is>
          <t>AZ</t>
        </is>
      </c>
      <c r="B7" t="n">
        <v>9066</v>
      </c>
      <c r="C7" t="n">
        <v>109377203.3428122</v>
      </c>
      <c r="D7" t="n">
        <v>13.9381</v>
      </c>
      <c r="E7" t="n">
        <v>1.8488</v>
      </c>
      <c r="F7" t="inlineStr">
        <is>
          <t>Z</t>
        </is>
      </c>
    </row>
    <row r="8">
      <c r="A8" t="inlineStr">
        <is>
          <t>BX</t>
        </is>
      </c>
      <c r="B8" t="n">
        <v>460</v>
      </c>
      <c r="C8" t="n">
        <v>2630684.030501705</v>
      </c>
      <c r="D8" t="n">
        <v>14.3563</v>
      </c>
      <c r="E8" t="n">
        <v>0.4551</v>
      </c>
      <c r="F8" t="inlineStr">
        <is>
          <t>X</t>
        </is>
      </c>
    </row>
    <row r="9">
      <c r="A9" t="inlineStr">
        <is>
          <t>BY</t>
        </is>
      </c>
      <c r="B9" t="n">
        <v>38590</v>
      </c>
      <c r="C9" t="n">
        <v>131344673.445976</v>
      </c>
      <c r="D9" t="n">
        <v>4.3428</v>
      </c>
      <c r="E9" t="n">
        <v>0.7324000000000001</v>
      </c>
      <c r="F9" t="inlineStr">
        <is>
          <t>Y</t>
        </is>
      </c>
    </row>
    <row r="10">
      <c r="A10" t="inlineStr">
        <is>
          <t>BZ</t>
        </is>
      </c>
      <c r="B10" t="n">
        <v>8218</v>
      </c>
      <c r="C10" t="n">
        <v>27068489.13349206</v>
      </c>
      <c r="D10" t="n">
        <v>6.3582</v>
      </c>
      <c r="E10" t="n">
        <v>1.6385</v>
      </c>
      <c r="F10" t="inlineStr">
        <is>
          <t>Z</t>
        </is>
      </c>
    </row>
    <row r="11">
      <c r="A11" t="inlineStr">
        <is>
          <t>CX</t>
        </is>
      </c>
      <c r="B11" t="n">
        <v>6090</v>
      </c>
      <c r="C11" t="n">
        <v>1682051.656896651</v>
      </c>
      <c r="D11" t="n">
        <v>1.7437</v>
      </c>
      <c r="E11" t="n">
        <v>0.4148</v>
      </c>
      <c r="F11" t="inlineStr">
        <is>
          <t>X</t>
        </is>
      </c>
    </row>
    <row r="12">
      <c r="A12" t="inlineStr">
        <is>
          <t>CY</t>
        </is>
      </c>
      <c r="B12" t="n">
        <v>48083</v>
      </c>
      <c r="C12" t="n">
        <v>42369611.03957873</v>
      </c>
      <c r="D12" t="n">
        <v>2.8371</v>
      </c>
      <c r="E12" t="n">
        <v>0.7049</v>
      </c>
      <c r="F12" t="inlineStr">
        <is>
          <t>Y</t>
        </is>
      </c>
    </row>
    <row r="13">
      <c r="A13" t="inlineStr">
        <is>
          <t>CZ</t>
        </is>
      </c>
      <c r="B13" t="n">
        <v>8842</v>
      </c>
      <c r="C13" t="n">
        <v>9652031.926180074</v>
      </c>
      <c r="D13" t="n">
        <v>4.6457</v>
      </c>
      <c r="E13" t="n">
        <v>1.5559</v>
      </c>
      <c r="F13" t="inlineStr">
        <is>
          <t>Z</t>
        </is>
      </c>
    </row>
  </sheetData>
  <mergeCells count="1">
    <mergeCell ref="A2:H2"/>
  </mergeCells>
  <conditionalFormatting sqref="E5:E13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3" customWidth="1" min="5" max="5"/>
    <col width="16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ABC-XYZ Classification Matrix</t>
        </is>
      </c>
    </row>
    <row r="2">
      <c r="A2" s="6" t="inlineStr">
        <is>
          <t>SKU counts and revenue share across the 9 segments (all 54 stores combined). ABC = revenue tier; XYZ = demand-variability tier.</t>
        </is>
      </c>
    </row>
    <row r="4">
      <c r="A4" s="3" t="inlineStr">
        <is>
          <t>SKU count per cell</t>
        </is>
      </c>
      <c r="F4" s="3" t="inlineStr">
        <is>
          <t>Revenue share % per cell</t>
        </is>
      </c>
    </row>
    <row r="5">
      <c r="B5" s="3" t="inlineStr">
        <is>
          <t>X (stable)</t>
        </is>
      </c>
      <c r="C5" s="3" t="inlineStr">
        <is>
          <t>Y (moderate)</t>
        </is>
      </c>
      <c r="D5" s="3" t="inlineStr">
        <is>
          <t>Z (erratic)</t>
        </is>
      </c>
      <c r="G5" s="3" t="inlineStr">
        <is>
          <t>X (stable)</t>
        </is>
      </c>
      <c r="H5" s="3" t="inlineStr">
        <is>
          <t>Y (moderate)</t>
        </is>
      </c>
      <c r="I5" s="3" t="inlineStr">
        <is>
          <t>Z (erratic)</t>
        </is>
      </c>
    </row>
    <row r="6">
      <c r="A6" s="3" t="inlineStr">
        <is>
          <t>A (high rev)</t>
        </is>
      </c>
      <c r="B6" t="n">
        <v>4844</v>
      </c>
      <c r="C6" t="n">
        <v>42527</v>
      </c>
      <c r="D6" t="n">
        <v>9066</v>
      </c>
      <c r="F6" s="3" t="inlineStr">
        <is>
          <t>A (high rev)</t>
        </is>
      </c>
      <c r="G6" s="7" t="n">
        <v>0.169629888539619</v>
      </c>
      <c r="H6" s="7" t="n">
        <v>0.5283218182670295</v>
      </c>
      <c r="I6" s="7" t="n">
        <v>0.1019274157153079</v>
      </c>
    </row>
    <row r="7">
      <c r="A7" s="3" t="inlineStr">
        <is>
          <t>B (mid rev)</t>
        </is>
      </c>
      <c r="B7" t="n">
        <v>460</v>
      </c>
      <c r="C7" t="n">
        <v>38590</v>
      </c>
      <c r="D7" t="n">
        <v>8218</v>
      </c>
      <c r="F7" s="3" t="inlineStr">
        <is>
          <t>B (mid rev)</t>
        </is>
      </c>
      <c r="G7" s="7" t="n">
        <v>0.002451505584323296</v>
      </c>
      <c r="H7" s="7" t="n">
        <v>0.1223986600787331</v>
      </c>
      <c r="I7" s="7" t="n">
        <v>0.02522482802972534</v>
      </c>
    </row>
    <row r="8">
      <c r="A8" s="3" t="inlineStr">
        <is>
          <t>C (low rev)</t>
        </is>
      </c>
      <c r="B8" t="n">
        <v>6090</v>
      </c>
      <c r="C8" t="n">
        <v>48083</v>
      </c>
      <c r="D8" t="n">
        <v>8842</v>
      </c>
      <c r="F8" s="3" t="inlineStr">
        <is>
          <t>C (low rev)</t>
        </is>
      </c>
      <c r="G8" s="7" t="n">
        <v>0.001567485483696032</v>
      </c>
      <c r="H8" s="7" t="n">
        <v>0.03948377565105149</v>
      </c>
      <c r="I8" s="7" t="n">
        <v>0.008994622650514416</v>
      </c>
    </row>
    <row r="10">
      <c r="A10" s="3" t="inlineStr">
        <is>
          <t>Service level policy</t>
        </is>
      </c>
      <c r="F10" s="3" t="inlineStr">
        <is>
          <t>Avg CV per cell</t>
        </is>
      </c>
    </row>
    <row r="11">
      <c r="B11" s="3" t="inlineStr">
        <is>
          <t>X (stable)</t>
        </is>
      </c>
      <c r="C11" s="3" t="inlineStr">
        <is>
          <t>Y (moderate)</t>
        </is>
      </c>
      <c r="D11" s="3" t="inlineStr">
        <is>
          <t>Z (erratic)</t>
        </is>
      </c>
      <c r="G11" s="3" t="inlineStr">
        <is>
          <t>X (stable)</t>
        </is>
      </c>
      <c r="H11" s="3" t="inlineStr">
        <is>
          <t>Y (moderate)</t>
        </is>
      </c>
      <c r="I11" s="3" t="inlineStr">
        <is>
          <t>Z (erratic)</t>
        </is>
      </c>
    </row>
    <row r="12">
      <c r="A12" s="3" t="inlineStr">
        <is>
          <t>A (high rev)</t>
        </is>
      </c>
      <c r="B12" s="8" t="n">
        <v>0.99</v>
      </c>
      <c r="C12" s="8" t="n">
        <v>0.97</v>
      </c>
      <c r="D12" s="8" t="n">
        <v>0.95</v>
      </c>
      <c r="F12" s="3" t="inlineStr">
        <is>
          <t>A (high rev)</t>
        </is>
      </c>
      <c r="G12" t="n">
        <v>0.4356</v>
      </c>
      <c r="H12" t="n">
        <v>0.7062</v>
      </c>
      <c r="I12" t="n">
        <v>1.8488</v>
      </c>
    </row>
    <row r="13">
      <c r="A13" s="3" t="inlineStr">
        <is>
          <t>B (mid rev)</t>
        </is>
      </c>
      <c r="B13" s="8" t="n">
        <v>0.95</v>
      </c>
      <c r="C13" s="8" t="n">
        <v>0.93</v>
      </c>
      <c r="D13" s="8" t="n">
        <v>0.9</v>
      </c>
      <c r="F13" s="3" t="inlineStr">
        <is>
          <t>B (mid rev)</t>
        </is>
      </c>
      <c r="G13" t="n">
        <v>0.4551</v>
      </c>
      <c r="H13" t="n">
        <v>0.7324000000000001</v>
      </c>
      <c r="I13" t="n">
        <v>1.6385</v>
      </c>
    </row>
    <row r="14">
      <c r="A14" s="3" t="inlineStr">
        <is>
          <t>C (low rev)</t>
        </is>
      </c>
      <c r="B14" s="8" t="n">
        <v>0.9</v>
      </c>
      <c r="C14" s="8" t="n">
        <v>0.88</v>
      </c>
      <c r="D14" s="8" t="n">
        <v>0.85</v>
      </c>
      <c r="F14" s="3" t="inlineStr">
        <is>
          <t>C (low rev)</t>
        </is>
      </c>
      <c r="G14" t="n">
        <v>0.4148</v>
      </c>
      <c r="H14" t="n">
        <v>0.7049</v>
      </c>
      <c r="I14" t="n">
        <v>1.5559</v>
      </c>
    </row>
    <row r="16">
      <c r="A16" s="6" t="inlineStr">
        <is>
          <t>Totals: 166,720 SKU-store pairs, revenue proxy 1,073,089,145</t>
        </is>
      </c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4" customWidth="1" min="5" max="5"/>
    <col width="9" customWidth="1" min="6" max="6"/>
    <col width="12" customWidth="1" min="7" max="7"/>
    <col width="8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Safety Stock Calculator (live formulas, 9-cell aggregate)</t>
        </is>
      </c>
    </row>
    <row r="2" ht="30" customHeight="1">
      <c r="A2" s="2" t="inlineStr">
        <is>
          <t>SS = z·Σσ·√LT ; ROP = Σmean·LT + SS ; HC = SS·unit_cost·holding_rate. z and service level come from the Config policy table via VLOOKUP. Aggregated to one row per ABC-XYZ cell (166,720 SKUs collapsed to 9 rows) — edit the policy or the LeadTime/HoldingRate inputs and every row recalculates.</t>
        </is>
      </c>
    </row>
    <row r="4">
      <c r="A4" s="5" t="inlineStr">
        <is>
          <t>Cell</t>
        </is>
      </c>
      <c r="B4" s="5" t="inlineStr">
        <is>
          <t>SKU Count</t>
        </is>
      </c>
      <c r="C4" s="5" t="inlineStr">
        <is>
          <t>Total Revenue</t>
        </is>
      </c>
      <c r="D4" s="5" t="inlineStr">
        <is>
          <t>Sum Mean Demand</t>
        </is>
      </c>
      <c r="E4" s="5" t="inlineStr">
        <is>
          <t>Sum Std Demand</t>
        </is>
      </c>
      <c r="F4" s="5" t="inlineStr">
        <is>
          <t>Unit Cost</t>
        </is>
      </c>
      <c r="G4" s="5" t="inlineStr">
        <is>
          <t>Service Level</t>
        </is>
      </c>
      <c r="H4" s="5" t="inlineStr">
        <is>
          <t>z</t>
        </is>
      </c>
      <c r="I4" s="5" t="inlineStr">
        <is>
          <t>Safety Stock</t>
        </is>
      </c>
      <c r="J4" s="5" t="inlineStr">
        <is>
          <t>Reorder Point</t>
        </is>
      </c>
      <c r="K4" s="5" t="inlineStr">
        <is>
          <t>Holding Cost</t>
        </is>
      </c>
    </row>
    <row r="5">
      <c r="A5" t="inlineStr">
        <is>
          <t>AX</t>
        </is>
      </c>
      <c r="B5" t="n">
        <v>4844</v>
      </c>
      <c r="C5" t="n">
        <v>182027991.9942091</v>
      </c>
      <c r="D5" t="n">
        <v>162207.7926118294</v>
      </c>
      <c r="E5" t="n">
        <v>66537.96065312844</v>
      </c>
      <c r="F5" t="n">
        <v>1</v>
      </c>
      <c r="G5">
        <f>VLOOKUP(A5,Config!$E$13:$G$21,2,FALSE)</f>
        <v/>
      </c>
      <c r="H5">
        <f>NORM.S.INV(G5)</f>
        <v/>
      </c>
      <c r="I5">
        <f>H5*E5*SQRT(Config!$B$5)</f>
        <v/>
      </c>
      <c r="J5">
        <f>D5*Config!$B$5+I5</f>
        <v/>
      </c>
      <c r="K5">
        <f>I5*F5*Config!$B$6</f>
        <v/>
      </c>
    </row>
    <row r="6">
      <c r="A6" t="inlineStr">
        <is>
          <t>AY</t>
        </is>
      </c>
      <c r="B6" t="n">
        <v>42527</v>
      </c>
      <c r="C6" t="n">
        <v>566936408.0458922</v>
      </c>
      <c r="D6" t="n">
        <v>487225.6964991614</v>
      </c>
      <c r="E6" t="n">
        <v>335099.8626556994</v>
      </c>
      <c r="F6" t="n">
        <v>1</v>
      </c>
      <c r="G6">
        <f>VLOOKUP(A6,Config!$E$13:$G$21,2,FALSE)</f>
        <v/>
      </c>
      <c r="H6">
        <f>NORM.S.INV(G6)</f>
        <v/>
      </c>
      <c r="I6">
        <f>H6*E6*SQRT(Config!$B$5)</f>
        <v/>
      </c>
      <c r="J6">
        <f>D6*Config!$B$5+I6</f>
        <v/>
      </c>
      <c r="K6">
        <f>I6*F6*Config!$B$6</f>
        <v/>
      </c>
    </row>
    <row r="7">
      <c r="A7" t="inlineStr">
        <is>
          <t>AZ</t>
        </is>
      </c>
      <c r="B7" t="n">
        <v>9066</v>
      </c>
      <c r="C7" t="n">
        <v>109377203.3428122</v>
      </c>
      <c r="D7" t="n">
        <v>126362.7504898696</v>
      </c>
      <c r="E7" t="n">
        <v>260307.8454074599</v>
      </c>
      <c r="F7" t="n">
        <v>1</v>
      </c>
      <c r="G7">
        <f>VLOOKUP(A7,Config!$E$13:$G$21,2,FALSE)</f>
        <v/>
      </c>
      <c r="H7">
        <f>NORM.S.INV(G7)</f>
        <v/>
      </c>
      <c r="I7">
        <f>H7*E7*SQRT(Config!$B$5)</f>
        <v/>
      </c>
      <c r="J7">
        <f>D7*Config!$B$5+I7</f>
        <v/>
      </c>
      <c r="K7">
        <f>I7*F7*Config!$B$6</f>
        <v/>
      </c>
    </row>
    <row r="8">
      <c r="A8" t="inlineStr">
        <is>
          <t>BX</t>
        </is>
      </c>
      <c r="B8" t="n">
        <v>460</v>
      </c>
      <c r="C8" t="n">
        <v>2630684.030501705</v>
      </c>
      <c r="D8" t="n">
        <v>6603.910334455057</v>
      </c>
      <c r="E8" t="n">
        <v>2889.526137580293</v>
      </c>
      <c r="F8" t="n">
        <v>1</v>
      </c>
      <c r="G8">
        <f>VLOOKUP(A8,Config!$E$13:$G$21,2,FALSE)</f>
        <v/>
      </c>
      <c r="H8">
        <f>NORM.S.INV(G8)</f>
        <v/>
      </c>
      <c r="I8">
        <f>H8*E8*SQRT(Config!$B$5)</f>
        <v/>
      </c>
      <c r="J8">
        <f>D8*Config!$B$5+I8</f>
        <v/>
      </c>
      <c r="K8">
        <f>I8*F8*Config!$B$6</f>
        <v/>
      </c>
    </row>
    <row r="9">
      <c r="A9" t="inlineStr">
        <is>
          <t>BY</t>
        </is>
      </c>
      <c r="B9" t="n">
        <v>38590</v>
      </c>
      <c r="C9" t="n">
        <v>131344673.445976</v>
      </c>
      <c r="D9" t="n">
        <v>167589.6183503016</v>
      </c>
      <c r="E9" t="n">
        <v>122420.6800063937</v>
      </c>
      <c r="F9" t="n">
        <v>1</v>
      </c>
      <c r="G9">
        <f>VLOOKUP(A9,Config!$E$13:$G$21,2,FALSE)</f>
        <v/>
      </c>
      <c r="H9">
        <f>NORM.S.INV(G9)</f>
        <v/>
      </c>
      <c r="I9">
        <f>H9*E9*SQRT(Config!$B$5)</f>
        <v/>
      </c>
      <c r="J9">
        <f>D9*Config!$B$5+I9</f>
        <v/>
      </c>
      <c r="K9">
        <f>I9*F9*Config!$B$6</f>
        <v/>
      </c>
    </row>
    <row r="10">
      <c r="A10" t="inlineStr">
        <is>
          <t>BZ</t>
        </is>
      </c>
      <c r="B10" t="n">
        <v>8218</v>
      </c>
      <c r="C10" t="n">
        <v>27068489.13349206</v>
      </c>
      <c r="D10" t="n">
        <v>52251.45646683191</v>
      </c>
      <c r="E10" t="n">
        <v>92839.80989357122</v>
      </c>
      <c r="F10" t="n">
        <v>1</v>
      </c>
      <c r="G10">
        <f>VLOOKUP(A10,Config!$E$13:$G$21,2,FALSE)</f>
        <v/>
      </c>
      <c r="H10">
        <f>NORM.S.INV(G10)</f>
        <v/>
      </c>
      <c r="I10">
        <f>H10*E10*SQRT(Config!$B$5)</f>
        <v/>
      </c>
      <c r="J10">
        <f>D10*Config!$B$5+I10</f>
        <v/>
      </c>
      <c r="K10">
        <f>I10*F10*Config!$B$6</f>
        <v/>
      </c>
    </row>
    <row r="11">
      <c r="A11" t="inlineStr">
        <is>
          <t>CX</t>
        </is>
      </c>
      <c r="B11" t="n">
        <v>6090</v>
      </c>
      <c r="C11" t="n">
        <v>1682051.656896651</v>
      </c>
      <c r="D11" t="n">
        <v>10619.37147035446</v>
      </c>
      <c r="E11" t="n">
        <v>4508.386588636287</v>
      </c>
      <c r="F11" t="n">
        <v>1</v>
      </c>
      <c r="G11">
        <f>VLOOKUP(A11,Config!$E$13:$G$21,2,FALSE)</f>
        <v/>
      </c>
      <c r="H11">
        <f>NORM.S.INV(G11)</f>
        <v/>
      </c>
      <c r="I11">
        <f>H11*E11*SQRT(Config!$B$5)</f>
        <v/>
      </c>
      <c r="J11">
        <f>D11*Config!$B$5+I11</f>
        <v/>
      </c>
      <c r="K11">
        <f>I11*F11*Config!$B$6</f>
        <v/>
      </c>
    </row>
    <row r="12">
      <c r="A12" t="inlineStr">
        <is>
          <t>CY</t>
        </is>
      </c>
      <c r="B12" t="n">
        <v>48083</v>
      </c>
      <c r="C12" t="n">
        <v>42369611.03957873</v>
      </c>
      <c r="D12" t="n">
        <v>136416.533451026</v>
      </c>
      <c r="E12" t="n">
        <v>98758.2011189217</v>
      </c>
      <c r="F12" t="n">
        <v>1</v>
      </c>
      <c r="G12">
        <f>VLOOKUP(A12,Config!$E$13:$G$21,2,FALSE)</f>
        <v/>
      </c>
      <c r="H12">
        <f>NORM.S.INV(G12)</f>
        <v/>
      </c>
      <c r="I12">
        <f>H12*E12*SQRT(Config!$B$5)</f>
        <v/>
      </c>
      <c r="J12">
        <f>D12*Config!$B$5+I12</f>
        <v/>
      </c>
      <c r="K12">
        <f>I12*F12*Config!$B$6</f>
        <v/>
      </c>
    </row>
    <row r="13">
      <c r="A13" t="inlineStr">
        <is>
          <t>CZ</t>
        </is>
      </c>
      <c r="B13" t="n">
        <v>8842</v>
      </c>
      <c r="C13" t="n">
        <v>9652031.926180074</v>
      </c>
      <c r="D13" t="n">
        <v>41077.38963595204</v>
      </c>
      <c r="E13" t="n">
        <v>68543.9173488884</v>
      </c>
      <c r="F13" t="n">
        <v>1</v>
      </c>
      <c r="G13">
        <f>VLOOKUP(A13,Config!$E$13:$G$21,2,FALSE)</f>
        <v/>
      </c>
      <c r="H13">
        <f>NORM.S.INV(G13)</f>
        <v/>
      </c>
      <c r="I13">
        <f>H13*E13*SQRT(Config!$B$5)</f>
        <v/>
      </c>
      <c r="J13">
        <f>D13*Config!$B$5+I13</f>
        <v/>
      </c>
      <c r="K13">
        <f>I13*F13*Config!$B$6</f>
        <v/>
      </c>
    </row>
    <row r="14">
      <c r="A14" s="3" t="inlineStr">
        <is>
          <t>TOTAL</t>
        </is>
      </c>
      <c r="B14">
        <f>SUM(B5:B13)</f>
        <v/>
      </c>
      <c r="C14">
        <f>SUM(C5:C13)</f>
        <v/>
      </c>
      <c r="I14">
        <f>SUM(I5:I13)</f>
        <v/>
      </c>
      <c r="K14">
        <f>SUM(K5:K13)</f>
        <v/>
      </c>
    </row>
  </sheetData>
  <mergeCells count="1"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Cost–Service Level Tradeoff (the money chart)</t>
        </is>
      </c>
    </row>
    <row r="2" ht="40" customHeight="1">
      <c r="A2" s="2" t="inlineStr">
        <is>
          <t>Uniform service level swept 85%→99.5%. Total SS = z·√LT·Σσ ; Total HC = z·√LT·holding_rate·Σ(σ·unit_cost). Both are live and react to the Config inputs. Σσ is pulled from the 9-cell aggregate calculator's grand total (all 166,720 classified SKUs, regardless of cell — this sweep applies one uniform SL to everyone). Note the convex curve — the last points of service level cost the most.</t>
        </is>
      </c>
    </row>
    <row r="4">
      <c r="A4" t="inlineStr">
        <is>
          <t>Σ std demand</t>
        </is>
      </c>
      <c r="B4">
        <f>SUM('Safety Stock Calculator'!E5:E13)</f>
        <v/>
      </c>
    </row>
    <row r="5">
      <c r="A5" t="inlineStr">
        <is>
          <t>Σ (std × unit cost)</t>
        </is>
      </c>
      <c r="B5">
        <f>SUMPRODUCT('Safety Stock Calculator'!E5:E13,'Safety Stock Calculator'!F5:F13)</f>
        <v/>
      </c>
    </row>
    <row r="7">
      <c r="A7" s="3" t="inlineStr">
        <is>
          <t>Service Level</t>
        </is>
      </c>
      <c r="B7" s="3" t="inlineStr">
        <is>
          <t>z</t>
        </is>
      </c>
      <c r="C7" s="3" t="inlineStr">
        <is>
          <t>Total Safety Stock</t>
        </is>
      </c>
      <c r="D7" s="3" t="inlineStr">
        <is>
          <t>Total Holding Cost</t>
        </is>
      </c>
    </row>
    <row r="8">
      <c r="A8" t="n">
        <v>0.8</v>
      </c>
      <c r="B8">
        <f>NORM.S.INV(A8)</f>
        <v/>
      </c>
      <c r="C8">
        <f>B8*SQRT(Config!$B$5)*$B$4</f>
        <v/>
      </c>
      <c r="D8">
        <f>B8*SQRT(Config!$B$5)*Config!$B$6*$B$5</f>
        <v/>
      </c>
    </row>
    <row r="9">
      <c r="A9" t="n">
        <v>0.805</v>
      </c>
      <c r="B9">
        <f>NORM.S.INV(A9)</f>
        <v/>
      </c>
      <c r="C9">
        <f>B9*SQRT(Config!$B$5)*$B$4</f>
        <v/>
      </c>
      <c r="D9">
        <f>B9*SQRT(Config!$B$5)*Config!$B$6*$B$5</f>
        <v/>
      </c>
    </row>
    <row r="10">
      <c r="A10" t="n">
        <v>0.8100000000000001</v>
      </c>
      <c r="B10">
        <f>NORM.S.INV(A10)</f>
        <v/>
      </c>
      <c r="C10">
        <f>B10*SQRT(Config!$B$5)*$B$4</f>
        <v/>
      </c>
      <c r="D10">
        <f>B10*SQRT(Config!$B$5)*Config!$B$6*$B$5</f>
        <v/>
      </c>
    </row>
    <row r="11">
      <c r="A11" t="n">
        <v>0.8149999999999999</v>
      </c>
      <c r="B11">
        <f>NORM.S.INV(A11)</f>
        <v/>
      </c>
      <c r="C11">
        <f>B11*SQRT(Config!$B$5)*$B$4</f>
        <v/>
      </c>
      <c r="D11">
        <f>B11*SQRT(Config!$B$5)*Config!$B$6*$B$5</f>
        <v/>
      </c>
    </row>
    <row r="12">
      <c r="A12" t="n">
        <v>0.82</v>
      </c>
      <c r="B12">
        <f>NORM.S.INV(A12)</f>
        <v/>
      </c>
      <c r="C12">
        <f>B12*SQRT(Config!$B$5)*$B$4</f>
        <v/>
      </c>
      <c r="D12">
        <f>B12*SQRT(Config!$B$5)*Config!$B$6*$B$5</f>
        <v/>
      </c>
    </row>
    <row r="13">
      <c r="A13" t="n">
        <v>0.825</v>
      </c>
      <c r="B13">
        <f>NORM.S.INV(A13)</f>
        <v/>
      </c>
      <c r="C13">
        <f>B13*SQRT(Config!$B$5)*$B$4</f>
        <v/>
      </c>
      <c r="D13">
        <f>B13*SQRT(Config!$B$5)*Config!$B$6*$B$5</f>
        <v/>
      </c>
    </row>
    <row r="14">
      <c r="A14" t="n">
        <v>0.83</v>
      </c>
      <c r="B14">
        <f>NORM.S.INV(A14)</f>
        <v/>
      </c>
      <c r="C14">
        <f>B14*SQRT(Config!$B$5)*$B$4</f>
        <v/>
      </c>
      <c r="D14">
        <f>B14*SQRT(Config!$B$5)*Config!$B$6*$B$5</f>
        <v/>
      </c>
    </row>
    <row r="15">
      <c r="A15" t="n">
        <v>0.835</v>
      </c>
      <c r="B15">
        <f>NORM.S.INV(A15)</f>
        <v/>
      </c>
      <c r="C15">
        <f>B15*SQRT(Config!$B$5)*$B$4</f>
        <v/>
      </c>
      <c r="D15">
        <f>B15*SQRT(Config!$B$5)*Config!$B$6*$B$5</f>
        <v/>
      </c>
    </row>
    <row r="16">
      <c r="A16" t="n">
        <v>0.84</v>
      </c>
      <c r="B16">
        <f>NORM.S.INV(A16)</f>
        <v/>
      </c>
      <c r="C16">
        <f>B16*SQRT(Config!$B$5)*$B$4</f>
        <v/>
      </c>
      <c r="D16">
        <f>B16*SQRT(Config!$B$5)*Config!$B$6*$B$5</f>
        <v/>
      </c>
    </row>
    <row r="17">
      <c r="A17" t="n">
        <v>0.845</v>
      </c>
      <c r="B17">
        <f>NORM.S.INV(A17)</f>
        <v/>
      </c>
      <c r="C17">
        <f>B17*SQRT(Config!$B$5)*$B$4</f>
        <v/>
      </c>
      <c r="D17">
        <f>B17*SQRT(Config!$B$5)*Config!$B$6*$B$5</f>
        <v/>
      </c>
    </row>
    <row r="18">
      <c r="A18" t="n">
        <v>0.85</v>
      </c>
      <c r="B18">
        <f>NORM.S.INV(A18)</f>
        <v/>
      </c>
      <c r="C18">
        <f>B18*SQRT(Config!$B$5)*$B$4</f>
        <v/>
      </c>
      <c r="D18">
        <f>B18*SQRT(Config!$B$5)*Config!$B$6*$B$5</f>
        <v/>
      </c>
    </row>
    <row r="19">
      <c r="A19" t="n">
        <v>0.855</v>
      </c>
      <c r="B19">
        <f>NORM.S.INV(A19)</f>
        <v/>
      </c>
      <c r="C19">
        <f>B19*SQRT(Config!$B$5)*$B$4</f>
        <v/>
      </c>
      <c r="D19">
        <f>B19*SQRT(Config!$B$5)*Config!$B$6*$B$5</f>
        <v/>
      </c>
    </row>
    <row r="20">
      <c r="A20" t="n">
        <v>0.86</v>
      </c>
      <c r="B20">
        <f>NORM.S.INV(A20)</f>
        <v/>
      </c>
      <c r="C20">
        <f>B20*SQRT(Config!$B$5)*$B$4</f>
        <v/>
      </c>
      <c r="D20">
        <f>B20*SQRT(Config!$B$5)*Config!$B$6*$B$5</f>
        <v/>
      </c>
    </row>
    <row r="21">
      <c r="A21" t="n">
        <v>0.865</v>
      </c>
      <c r="B21">
        <f>NORM.S.INV(A21)</f>
        <v/>
      </c>
      <c r="C21">
        <f>B21*SQRT(Config!$B$5)*$B$4</f>
        <v/>
      </c>
      <c r="D21">
        <f>B21*SQRT(Config!$B$5)*Config!$B$6*$B$5</f>
        <v/>
      </c>
    </row>
    <row r="22">
      <c r="A22" t="n">
        <v>0.87</v>
      </c>
      <c r="B22">
        <f>NORM.S.INV(A22)</f>
        <v/>
      </c>
      <c r="C22">
        <f>B22*SQRT(Config!$B$5)*$B$4</f>
        <v/>
      </c>
      <c r="D22">
        <f>B22*SQRT(Config!$B$5)*Config!$B$6*$B$5</f>
        <v/>
      </c>
    </row>
    <row r="23">
      <c r="A23" t="n">
        <v>0.875</v>
      </c>
      <c r="B23">
        <f>NORM.S.INV(A23)</f>
        <v/>
      </c>
      <c r="C23">
        <f>B23*SQRT(Config!$B$5)*$B$4</f>
        <v/>
      </c>
      <c r="D23">
        <f>B23*SQRT(Config!$B$5)*Config!$B$6*$B$5</f>
        <v/>
      </c>
    </row>
    <row r="24">
      <c r="A24" t="n">
        <v>0.88</v>
      </c>
      <c r="B24">
        <f>NORM.S.INV(A24)</f>
        <v/>
      </c>
      <c r="C24">
        <f>B24*SQRT(Config!$B$5)*$B$4</f>
        <v/>
      </c>
      <c r="D24">
        <f>B24*SQRT(Config!$B$5)*Config!$B$6*$B$5</f>
        <v/>
      </c>
    </row>
    <row r="25">
      <c r="A25" t="n">
        <v>0.885</v>
      </c>
      <c r="B25">
        <f>NORM.S.INV(A25)</f>
        <v/>
      </c>
      <c r="C25">
        <f>B25*SQRT(Config!$B$5)*$B$4</f>
        <v/>
      </c>
      <c r="D25">
        <f>B25*SQRT(Config!$B$5)*Config!$B$6*$B$5</f>
        <v/>
      </c>
    </row>
    <row r="26">
      <c r="A26" t="n">
        <v>0.89</v>
      </c>
      <c r="B26">
        <f>NORM.S.INV(A26)</f>
        <v/>
      </c>
      <c r="C26">
        <f>B26*SQRT(Config!$B$5)*$B$4</f>
        <v/>
      </c>
      <c r="D26">
        <f>B26*SQRT(Config!$B$5)*Config!$B$6*$B$5</f>
        <v/>
      </c>
    </row>
    <row r="27">
      <c r="A27" t="n">
        <v>0.895</v>
      </c>
      <c r="B27">
        <f>NORM.S.INV(A27)</f>
        <v/>
      </c>
      <c r="C27">
        <f>B27*SQRT(Config!$B$5)*$B$4</f>
        <v/>
      </c>
      <c r="D27">
        <f>B27*SQRT(Config!$B$5)*Config!$B$6*$B$5</f>
        <v/>
      </c>
    </row>
    <row r="28">
      <c r="A28" t="n">
        <v>0.9</v>
      </c>
      <c r="B28">
        <f>NORM.S.INV(A28)</f>
        <v/>
      </c>
      <c r="C28">
        <f>B28*SQRT(Config!$B$5)*$B$4</f>
        <v/>
      </c>
      <c r="D28">
        <f>B28*SQRT(Config!$B$5)*Config!$B$6*$B$5</f>
        <v/>
      </c>
    </row>
    <row r="29">
      <c r="A29" t="n">
        <v>0.905</v>
      </c>
      <c r="B29">
        <f>NORM.S.INV(A29)</f>
        <v/>
      </c>
      <c r="C29">
        <f>B29*SQRT(Config!$B$5)*$B$4</f>
        <v/>
      </c>
      <c r="D29">
        <f>B29*SQRT(Config!$B$5)*Config!$B$6*$B$5</f>
        <v/>
      </c>
    </row>
    <row r="30">
      <c r="A30" t="n">
        <v>0.91</v>
      </c>
      <c r="B30">
        <f>NORM.S.INV(A30)</f>
        <v/>
      </c>
      <c r="C30">
        <f>B30*SQRT(Config!$B$5)*$B$4</f>
        <v/>
      </c>
      <c r="D30">
        <f>B30*SQRT(Config!$B$5)*Config!$B$6*$B$5</f>
        <v/>
      </c>
    </row>
    <row r="31">
      <c r="A31" t="n">
        <v>0.915</v>
      </c>
      <c r="B31">
        <f>NORM.S.INV(A31)</f>
        <v/>
      </c>
      <c r="C31">
        <f>B31*SQRT(Config!$B$5)*$B$4</f>
        <v/>
      </c>
      <c r="D31">
        <f>B31*SQRT(Config!$B$5)*Config!$B$6*$B$5</f>
        <v/>
      </c>
    </row>
    <row r="32">
      <c r="A32" t="n">
        <v>0.92</v>
      </c>
      <c r="B32">
        <f>NORM.S.INV(A32)</f>
        <v/>
      </c>
      <c r="C32">
        <f>B32*SQRT(Config!$B$5)*$B$4</f>
        <v/>
      </c>
      <c r="D32">
        <f>B32*SQRT(Config!$B$5)*Config!$B$6*$B$5</f>
        <v/>
      </c>
    </row>
    <row r="33">
      <c r="A33" t="n">
        <v>0.925</v>
      </c>
      <c r="B33">
        <f>NORM.S.INV(A33)</f>
        <v/>
      </c>
      <c r="C33">
        <f>B33*SQRT(Config!$B$5)*$B$4</f>
        <v/>
      </c>
      <c r="D33">
        <f>B33*SQRT(Config!$B$5)*Config!$B$6*$B$5</f>
        <v/>
      </c>
    </row>
    <row r="34">
      <c r="A34" t="n">
        <v>0.93</v>
      </c>
      <c r="B34">
        <f>NORM.S.INV(A34)</f>
        <v/>
      </c>
      <c r="C34">
        <f>B34*SQRT(Config!$B$5)*$B$4</f>
        <v/>
      </c>
      <c r="D34">
        <f>B34*SQRT(Config!$B$5)*Config!$B$6*$B$5</f>
        <v/>
      </c>
    </row>
    <row r="35">
      <c r="A35" t="n">
        <v>0.9350000000000001</v>
      </c>
      <c r="B35">
        <f>NORM.S.INV(A35)</f>
        <v/>
      </c>
      <c r="C35">
        <f>B35*SQRT(Config!$B$5)*$B$4</f>
        <v/>
      </c>
      <c r="D35">
        <f>B35*SQRT(Config!$B$5)*Config!$B$6*$B$5</f>
        <v/>
      </c>
    </row>
    <row r="36">
      <c r="A36" t="n">
        <v>0.9399999999999999</v>
      </c>
      <c r="B36">
        <f>NORM.S.INV(A36)</f>
        <v/>
      </c>
      <c r="C36">
        <f>B36*SQRT(Config!$B$5)*$B$4</f>
        <v/>
      </c>
      <c r="D36">
        <f>B36*SQRT(Config!$B$5)*Config!$B$6*$B$5</f>
        <v/>
      </c>
    </row>
    <row r="37">
      <c r="A37" t="n">
        <v>0.945</v>
      </c>
      <c r="B37">
        <f>NORM.S.INV(A37)</f>
        <v/>
      </c>
      <c r="C37">
        <f>B37*SQRT(Config!$B$5)*$B$4</f>
        <v/>
      </c>
      <c r="D37">
        <f>B37*SQRT(Config!$B$5)*Config!$B$6*$B$5</f>
        <v/>
      </c>
    </row>
    <row r="38">
      <c r="A38" t="n">
        <v>0.95</v>
      </c>
      <c r="B38">
        <f>NORM.S.INV(A38)</f>
        <v/>
      </c>
      <c r="C38">
        <f>B38*SQRT(Config!$B$5)*$B$4</f>
        <v/>
      </c>
      <c r="D38">
        <f>B38*SQRT(Config!$B$5)*Config!$B$6*$B$5</f>
        <v/>
      </c>
    </row>
    <row r="39">
      <c r="A39" t="n">
        <v>0.955</v>
      </c>
      <c r="B39">
        <f>NORM.S.INV(A39)</f>
        <v/>
      </c>
      <c r="C39">
        <f>B39*SQRT(Config!$B$5)*$B$4</f>
        <v/>
      </c>
      <c r="D39">
        <f>B39*SQRT(Config!$B$5)*Config!$B$6*$B$5</f>
        <v/>
      </c>
    </row>
    <row r="40">
      <c r="A40" t="n">
        <v>0.96</v>
      </c>
      <c r="B40">
        <f>NORM.S.INV(A40)</f>
        <v/>
      </c>
      <c r="C40">
        <f>B40*SQRT(Config!$B$5)*$B$4</f>
        <v/>
      </c>
      <c r="D40">
        <f>B40*SQRT(Config!$B$5)*Config!$B$6*$B$5</f>
        <v/>
      </c>
    </row>
    <row r="41">
      <c r="A41" t="n">
        <v>0.965</v>
      </c>
      <c r="B41">
        <f>NORM.S.INV(A41)</f>
        <v/>
      </c>
      <c r="C41">
        <f>B41*SQRT(Config!$B$5)*$B$4</f>
        <v/>
      </c>
      <c r="D41">
        <f>B41*SQRT(Config!$B$5)*Config!$B$6*$B$5</f>
        <v/>
      </c>
    </row>
    <row r="42">
      <c r="A42" t="n">
        <v>0.97</v>
      </c>
      <c r="B42">
        <f>NORM.S.INV(A42)</f>
        <v/>
      </c>
      <c r="C42">
        <f>B42*SQRT(Config!$B$5)*$B$4</f>
        <v/>
      </c>
      <c r="D42">
        <f>B42*SQRT(Config!$B$5)*Config!$B$6*$B$5</f>
        <v/>
      </c>
    </row>
    <row r="43">
      <c r="A43" t="n">
        <v>0.975</v>
      </c>
      <c r="B43">
        <f>NORM.S.INV(A43)</f>
        <v/>
      </c>
      <c r="C43">
        <f>B43*SQRT(Config!$B$5)*$B$4</f>
        <v/>
      </c>
      <c r="D43">
        <f>B43*SQRT(Config!$B$5)*Config!$B$6*$B$5</f>
        <v/>
      </c>
    </row>
    <row r="44">
      <c r="A44" t="n">
        <v>0.98</v>
      </c>
      <c r="B44">
        <f>NORM.S.INV(A44)</f>
        <v/>
      </c>
      <c r="C44">
        <f>B44*SQRT(Config!$B$5)*$B$4</f>
        <v/>
      </c>
      <c r="D44">
        <f>B44*SQRT(Config!$B$5)*Config!$B$6*$B$5</f>
        <v/>
      </c>
    </row>
    <row r="45">
      <c r="A45" t="n">
        <v>0.985</v>
      </c>
      <c r="B45">
        <f>NORM.S.INV(A45)</f>
        <v/>
      </c>
      <c r="C45">
        <f>B45*SQRT(Config!$B$5)*$B$4</f>
        <v/>
      </c>
      <c r="D45">
        <f>B45*SQRT(Config!$B$5)*Config!$B$6*$B$5</f>
        <v/>
      </c>
    </row>
    <row r="46">
      <c r="A46" t="n">
        <v>0.99</v>
      </c>
      <c r="B46">
        <f>NORM.S.INV(A46)</f>
        <v/>
      </c>
      <c r="C46">
        <f>B46*SQRT(Config!$B$5)*$B$4</f>
        <v/>
      </c>
      <c r="D46">
        <f>B46*SQRT(Config!$B$5)*Config!$B$6*$B$5</f>
        <v/>
      </c>
    </row>
    <row r="47">
      <c r="A47" t="n">
        <v>0.995</v>
      </c>
      <c r="B47">
        <f>NORM.S.INV(A47)</f>
        <v/>
      </c>
      <c r="C47">
        <f>B47*SQRT(Config!$B$5)*$B$4</f>
        <v/>
      </c>
      <c r="D47">
        <f>B47*SQRT(Config!$B$5)*Config!$B$6*$B$5</f>
        <v/>
      </c>
    </row>
  </sheetData>
  <mergeCells count="1"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14" customWidth="1" min="4" max="4"/>
    <col width="14" customWidth="1" min="5" max="5"/>
    <col width="13" customWidth="1" min="6" max="6"/>
    <col width="13" customWidth="1" min="7" max="7"/>
  </cols>
  <sheetData>
    <row r="1">
      <c r="A1" s="1" t="inlineStr">
        <is>
          <t>Promotion Adjustments — recommended buffer by family</t>
        </is>
      </c>
    </row>
    <row r="2">
      <c r="A2" s="6" t="inlineStr">
        <is>
          <t>During promotions, demand lifts and the baseline reorder point can be breached. Extra safety stock needed per family, sized from historical promo lift, at full-dataset scale (all 54 stores).</t>
        </is>
      </c>
    </row>
    <row r="4">
      <c r="A4" s="5" t="inlineStr">
        <is>
          <t>Family</t>
        </is>
      </c>
      <c r="B4" s="5" t="inlineStr">
        <is>
          <t>SKUs</t>
        </is>
      </c>
      <c r="C4" s="5" t="inlineStr">
        <is>
          <t>Lift %</t>
        </is>
      </c>
      <c r="D4" s="5" t="inlineStr">
        <is>
          <t>SS Baseline</t>
        </is>
      </c>
      <c r="E4" s="5" t="inlineStr">
        <is>
          <t>SS Promo</t>
        </is>
      </c>
      <c r="F4" s="5" t="inlineStr">
        <is>
          <t>SS Increase</t>
        </is>
      </c>
      <c r="G4" s="5" t="inlineStr">
        <is>
          <t>HC Increase</t>
        </is>
      </c>
    </row>
    <row r="5">
      <c r="A5" t="inlineStr">
        <is>
          <t>GROCERY I</t>
        </is>
      </c>
      <c r="B5" t="n">
        <v>54523</v>
      </c>
      <c r="C5" s="9" t="n">
        <v>0.7321772029805516</v>
      </c>
      <c r="D5" t="n">
        <v>1429043.3825</v>
      </c>
      <c r="E5" t="n">
        <v>1952199.873118948</v>
      </c>
      <c r="F5" t="n">
        <v>523156.4906189479</v>
      </c>
      <c r="G5" t="n">
        <v>115094.4274861685</v>
      </c>
    </row>
    <row r="6">
      <c r="A6" t="inlineStr">
        <is>
          <t>BEVERAGES</t>
        </is>
      </c>
      <c r="B6" t="n">
        <v>27443</v>
      </c>
      <c r="C6" s="9" t="n">
        <v>0.7665944715310729</v>
      </c>
      <c r="D6" t="n">
        <v>1150049.8389</v>
      </c>
      <c r="E6" t="n">
        <v>1590860.752513896</v>
      </c>
      <c r="F6" t="n">
        <v>440810.9136138957</v>
      </c>
      <c r="G6" t="n">
        <v>96978.40955305703</v>
      </c>
    </row>
    <row r="7">
      <c r="A7" t="inlineStr">
        <is>
          <t>CLEANING</t>
        </is>
      </c>
      <c r="B7" t="n">
        <v>18993</v>
      </c>
      <c r="C7" s="9" t="n">
        <v>0.711915823857735</v>
      </c>
      <c r="D7" t="n">
        <v>371145.1957</v>
      </c>
      <c r="E7" t="n">
        <v>503257.2752845297</v>
      </c>
      <c r="F7" t="n">
        <v>132112.0795845297</v>
      </c>
      <c r="G7" t="n">
        <v>29064.65626259653</v>
      </c>
    </row>
    <row r="8">
      <c r="A8" t="inlineStr">
        <is>
          <t>PRODUCE</t>
        </is>
      </c>
      <c r="B8" t="n">
        <v>10820</v>
      </c>
      <c r="C8" s="9" t="n">
        <v>0.3389987100660852</v>
      </c>
      <c r="D8" t="n">
        <v>428959.8569</v>
      </c>
      <c r="E8" t="n">
        <v>501668.2781485471</v>
      </c>
      <c r="F8" t="n">
        <v>72708.42124854706</v>
      </c>
      <c r="G8" t="n">
        <v>15995.85089268036</v>
      </c>
    </row>
    <row r="9">
      <c r="A9" t="inlineStr">
        <is>
          <t>FROZEN FOODS</t>
        </is>
      </c>
      <c r="B9" t="n">
        <v>2094</v>
      </c>
      <c r="C9" s="9" t="n">
        <v>0.5417829350586658</v>
      </c>
      <c r="D9" t="n">
        <v>222539.4965</v>
      </c>
      <c r="E9" t="n">
        <v>282823.5447724044</v>
      </c>
      <c r="F9" t="n">
        <v>60284.04827240437</v>
      </c>
      <c r="G9" t="n">
        <v>13262.49234992896</v>
      </c>
    </row>
    <row r="10">
      <c r="A10" t="inlineStr">
        <is>
          <t>HOME AND KITCHEN II</t>
        </is>
      </c>
      <c r="B10" t="n">
        <v>1924</v>
      </c>
      <c r="C10" s="9" t="n">
        <v>3.573720259052232</v>
      </c>
      <c r="D10" t="n">
        <v>17377.1337</v>
      </c>
      <c r="E10" t="n">
        <v>48427.64007070141</v>
      </c>
      <c r="F10" t="n">
        <v>31050.50637070141</v>
      </c>
      <c r="G10" t="n">
        <v>6831.112115554311</v>
      </c>
    </row>
    <row r="11">
      <c r="A11" t="inlineStr">
        <is>
          <t>PERSONAL CARE</t>
        </is>
      </c>
      <c r="B11" t="n">
        <v>6725</v>
      </c>
      <c r="C11" s="9" t="n">
        <v>0.3993202426629581</v>
      </c>
      <c r="D11" t="n">
        <v>90064.2197</v>
      </c>
      <c r="E11" t="n">
        <v>108046.4512922049</v>
      </c>
      <c r="F11" t="n">
        <v>17982.23159220488</v>
      </c>
      <c r="G11" t="n">
        <v>3956.090884285074</v>
      </c>
    </row>
    <row r="12">
      <c r="A12" t="inlineStr">
        <is>
          <t>HOME CARE</t>
        </is>
      </c>
      <c r="B12" t="n">
        <v>4826</v>
      </c>
      <c r="C12" s="9" t="n">
        <v>0.5169435683320365</v>
      </c>
      <c r="D12" t="n">
        <v>68590.50109999999</v>
      </c>
      <c r="E12" t="n">
        <v>86319.21058806329</v>
      </c>
      <c r="F12" t="n">
        <v>17728.70948806329</v>
      </c>
      <c r="G12" t="n">
        <v>3900.315729373925</v>
      </c>
    </row>
    <row r="13">
      <c r="A13" t="inlineStr">
        <is>
          <t>MEATS</t>
        </is>
      </c>
      <c r="B13" t="n">
        <v>2082</v>
      </c>
      <c r="C13" s="9" t="n">
        <v>0.3190313876685416</v>
      </c>
      <c r="D13" t="n">
        <v>79084.18519999999</v>
      </c>
      <c r="E13" t="n">
        <v>91699.35489243345</v>
      </c>
      <c r="F13" t="n">
        <v>12615.16969243344</v>
      </c>
      <c r="G13" t="n">
        <v>2775.335876335357</v>
      </c>
    </row>
    <row r="14">
      <c r="A14" t="inlineStr">
        <is>
          <t>SCHOOL AND OFFICE SUPPLIES</t>
        </is>
      </c>
      <c r="B14" t="n">
        <v>372</v>
      </c>
      <c r="C14" s="9" t="n">
        <v>2.808440789803767</v>
      </c>
      <c r="D14" t="n">
        <v>6269.6444</v>
      </c>
      <c r="E14" t="n">
        <v>15073.6064028795</v>
      </c>
      <c r="F14" t="n">
        <v>8803.962002879502</v>
      </c>
      <c r="G14" t="n">
        <v>1936.87110863349</v>
      </c>
    </row>
    <row r="15">
      <c r="A15" t="inlineStr">
        <is>
          <t>BREAD/BAKERY</t>
        </is>
      </c>
      <c r="B15" t="n">
        <v>4889</v>
      </c>
      <c r="C15" s="9" t="n">
        <v>0.1196058728165426</v>
      </c>
      <c r="D15" t="n">
        <v>116845.7951</v>
      </c>
      <c r="E15" t="n">
        <v>123833.5149810747</v>
      </c>
      <c r="F15" t="n">
        <v>6987.719881074717</v>
      </c>
      <c r="G15" t="n">
        <v>1537.302295836438</v>
      </c>
    </row>
    <row r="16">
      <c r="A16" t="inlineStr">
        <is>
          <t>LIQUOR,WINE,BEER</t>
        </is>
      </c>
      <c r="B16" t="n">
        <v>2082</v>
      </c>
      <c r="C16" s="9" t="n">
        <v>0.232819522263582</v>
      </c>
      <c r="D16" t="n">
        <v>52118.8034</v>
      </c>
      <c r="E16" t="n">
        <v>58185.9424050723</v>
      </c>
      <c r="F16" t="n">
        <v>6067.139005072296</v>
      </c>
      <c r="G16" t="n">
        <v>1334.769229115905</v>
      </c>
    </row>
    <row r="17">
      <c r="A17" t="inlineStr">
        <is>
          <t>POULTRY</t>
        </is>
      </c>
      <c r="B17" t="n">
        <v>1953</v>
      </c>
      <c r="C17" s="9" t="n">
        <v>0.1146698598241705</v>
      </c>
      <c r="D17" t="n">
        <v>96384.92449999999</v>
      </c>
      <c r="E17" t="n">
        <v>101911.1485892259</v>
      </c>
      <c r="F17" t="n">
        <v>5526.22408922594</v>
      </c>
      <c r="G17" t="n">
        <v>1215.771189629707</v>
      </c>
    </row>
    <row r="18">
      <c r="A18" t="inlineStr">
        <is>
          <t>EGGS</t>
        </is>
      </c>
      <c r="B18" t="n">
        <v>1374</v>
      </c>
      <c r="C18" s="9" t="n">
        <v>0.2998143633071546</v>
      </c>
      <c r="D18" t="n">
        <v>35659.155</v>
      </c>
      <c r="E18" t="n">
        <v>41004.72075028994</v>
      </c>
      <c r="F18" t="n">
        <v>5345.565750289938</v>
      </c>
      <c r="G18" t="n">
        <v>1176.024265063786</v>
      </c>
    </row>
    <row r="19">
      <c r="A19" t="inlineStr">
        <is>
          <t>DELI</t>
        </is>
      </c>
      <c r="B19" t="n">
        <v>3976</v>
      </c>
      <c r="C19" s="9" t="n">
        <v>0.07169446847339356</v>
      </c>
      <c r="D19" t="n">
        <v>61194.6286</v>
      </c>
      <c r="E19" t="n">
        <v>63388.28833204023</v>
      </c>
      <c r="F19" t="n">
        <v>2193.659732040222</v>
      </c>
      <c r="G19" t="n">
        <v>482.6022330488489</v>
      </c>
    </row>
    <row r="20">
      <c r="A20" t="inlineStr">
        <is>
          <t>HOME AND KITCHEN I</t>
        </is>
      </c>
      <c r="B20" t="n">
        <v>3318</v>
      </c>
      <c r="C20" s="9" t="n">
        <v>0.07611598200611702</v>
      </c>
      <c r="D20" t="n">
        <v>39566.513</v>
      </c>
      <c r="E20" t="n">
        <v>41072.3338420208</v>
      </c>
      <c r="F20" t="n">
        <v>1505.820842020804</v>
      </c>
      <c r="G20" t="n">
        <v>331.281145244577</v>
      </c>
    </row>
    <row r="21">
      <c r="A21" t="inlineStr">
        <is>
          <t>LINGERIE</t>
        </is>
      </c>
      <c r="B21" t="n">
        <v>929</v>
      </c>
      <c r="C21" s="9" t="n">
        <v>0.5847281839875993</v>
      </c>
      <c r="D21" t="n">
        <v>4918.8225</v>
      </c>
      <c r="E21" t="n">
        <v>6356.910706263911</v>
      </c>
      <c r="F21" t="n">
        <v>1438.088206263911</v>
      </c>
      <c r="G21" t="n">
        <v>316.3791553780605</v>
      </c>
    </row>
    <row r="22">
      <c r="A22" t="inlineStr">
        <is>
          <t>LAWN AND GARDEN</t>
        </is>
      </c>
      <c r="B22" t="n">
        <v>661</v>
      </c>
      <c r="C22" s="9" t="n">
        <v>0.5422009752348809</v>
      </c>
      <c r="D22" t="n">
        <v>4478.4095</v>
      </c>
      <c r="E22" t="n">
        <v>5692.510564746379</v>
      </c>
      <c r="F22" t="n">
        <v>1214.101064746379</v>
      </c>
      <c r="G22" t="n">
        <v>267.1004242442033</v>
      </c>
    </row>
    <row r="23">
      <c r="A23" t="inlineStr">
        <is>
          <t>AUTOMOTIVE</t>
        </is>
      </c>
      <c r="B23" t="n">
        <v>929</v>
      </c>
      <c r="C23" s="9" t="n">
        <v>0.4965309024461322</v>
      </c>
      <c r="D23" t="n">
        <v>2822.965</v>
      </c>
      <c r="E23" t="n">
        <v>3523.808040502855</v>
      </c>
      <c r="F23" t="n">
        <v>700.8430405028555</v>
      </c>
      <c r="G23" t="n">
        <v>154.1859689106282</v>
      </c>
    </row>
    <row r="24">
      <c r="A24" t="inlineStr">
        <is>
          <t>BEAUTY</t>
        </is>
      </c>
      <c r="B24" t="n">
        <v>669</v>
      </c>
      <c r="C24" s="9" t="n">
        <v>0.413237610750786</v>
      </c>
      <c r="D24" t="n">
        <v>2326.1931</v>
      </c>
      <c r="E24" t="n">
        <v>2806.828007288055</v>
      </c>
      <c r="F24" t="n">
        <v>480.6349072880548</v>
      </c>
      <c r="G24" t="n">
        <v>105.739261603372</v>
      </c>
    </row>
    <row r="25">
      <c r="A25" t="inlineStr">
        <is>
          <t>GROCERY II</t>
        </is>
      </c>
      <c r="B25" t="n">
        <v>432</v>
      </c>
      <c r="C25" s="9" t="n">
        <v>0.1007722220062812</v>
      </c>
      <c r="D25" t="n">
        <v>8674.6427</v>
      </c>
      <c r="E25" t="n">
        <v>9111.724410415529</v>
      </c>
      <c r="F25" t="n">
        <v>437.0817104155294</v>
      </c>
      <c r="G25" t="n">
        <v>96.15867029141648</v>
      </c>
    </row>
    <row r="26">
      <c r="A26" t="inlineStr">
        <is>
          <t>PET SUPPLIES</t>
        </is>
      </c>
      <c r="B26" t="n">
        <v>569</v>
      </c>
      <c r="C26" s="9" t="n">
        <v>0.2390710983038888</v>
      </c>
      <c r="D26" t="n">
        <v>1919.8546</v>
      </c>
      <c r="E26" t="n">
        <v>2149.345876834283</v>
      </c>
      <c r="F26" t="n">
        <v>229.4912768342837</v>
      </c>
      <c r="G26" t="n">
        <v>50.48859290354241</v>
      </c>
    </row>
    <row r="27">
      <c r="A27" t="inlineStr">
        <is>
          <t>PLAYERS AND ELECTRONICS</t>
        </is>
      </c>
      <c r="B27" t="n">
        <v>839</v>
      </c>
      <c r="C27" s="9" t="n">
        <v>0.1327823132777262</v>
      </c>
      <c r="D27" t="n">
        <v>3340.5536</v>
      </c>
      <c r="E27" t="n">
        <v>3562.336021759277</v>
      </c>
      <c r="F27" t="n">
        <v>221.7824217592771</v>
      </c>
      <c r="G27" t="n">
        <v>48.79122478704096</v>
      </c>
    </row>
    <row r="28">
      <c r="A28" t="inlineStr">
        <is>
          <t>SEAFOOD</t>
        </is>
      </c>
      <c r="B28" t="n">
        <v>250</v>
      </c>
      <c r="C28" s="9" t="n">
        <v>0.08387948382718857</v>
      </c>
      <c r="D28" t="n">
        <v>4318.0381</v>
      </c>
      <c r="E28" t="n">
        <v>4499.134966082328</v>
      </c>
      <c r="F28" t="n">
        <v>181.0968660823278</v>
      </c>
      <c r="G28" t="n">
        <v>39.84149253811211</v>
      </c>
    </row>
    <row r="29">
      <c r="A29" t="inlineStr">
        <is>
          <t>LADIESWEAR</t>
        </is>
      </c>
      <c r="B29" t="n">
        <v>785</v>
      </c>
      <c r="C29" s="9" t="n">
        <v>0.0843670127466256</v>
      </c>
      <c r="D29" t="n">
        <v>3508.2851</v>
      </c>
      <c r="E29" t="n">
        <v>3656.277029730904</v>
      </c>
      <c r="F29" t="n">
        <v>147.9919297309041</v>
      </c>
      <c r="G29" t="n">
        <v>32.55764654079891</v>
      </c>
    </row>
    <row r="30">
      <c r="A30" t="inlineStr">
        <is>
          <t>DAIRY</t>
        </is>
      </c>
      <c r="B30" t="n">
        <v>10526</v>
      </c>
      <c r="C30" s="9" t="n">
        <v>0.001415416227530386</v>
      </c>
      <c r="D30" t="n">
        <v>187384.4955</v>
      </c>
      <c r="E30" t="n">
        <v>187517.1103845395</v>
      </c>
      <c r="F30" t="n">
        <v>132.6148845394675</v>
      </c>
      <c r="G30" t="n">
        <v>29.17628459868322</v>
      </c>
    </row>
    <row r="31">
      <c r="A31" t="inlineStr">
        <is>
          <t>HARDWARE</t>
        </is>
      </c>
      <c r="B31" t="n">
        <v>213</v>
      </c>
      <c r="C31" s="9" t="n">
        <v>0.002147399774832692</v>
      </c>
      <c r="D31" t="n">
        <v>554.7127</v>
      </c>
      <c r="E31" t="n">
        <v>555.308622238342</v>
      </c>
      <c r="F31" t="n">
        <v>0.5959222383419767</v>
      </c>
      <c r="G31" t="n">
        <v>0.1310968924352358</v>
      </c>
    </row>
    <row r="32">
      <c r="A32" t="inlineStr">
        <is>
          <t>BOOKS</t>
        </is>
      </c>
      <c r="B32" t="n">
        <v>24</v>
      </c>
      <c r="C32" s="9" t="n">
        <v>0</v>
      </c>
      <c r="D32" t="n">
        <v>120.8753</v>
      </c>
      <c r="E32" t="n">
        <v>120.875413133068</v>
      </c>
      <c r="F32" t="n">
        <v>0.0001131330680557</v>
      </c>
      <c r="G32" t="n">
        <v>-9.110725027516864e-06</v>
      </c>
    </row>
    <row r="33">
      <c r="A33" t="inlineStr">
        <is>
          <t>BABY CARE</t>
        </is>
      </c>
      <c r="B33" t="n">
        <v>33</v>
      </c>
      <c r="C33" s="9" t="n">
        <v>-0.1193983777713389</v>
      </c>
      <c r="D33" t="n">
        <v>122.5709</v>
      </c>
      <c r="E33" t="n">
        <v>115.2534221352638</v>
      </c>
      <c r="F33" t="n">
        <v>-7.317477864736234</v>
      </c>
      <c r="G33" t="n">
        <v>-1.609947130241971</v>
      </c>
    </row>
    <row r="34">
      <c r="A34" t="inlineStr">
        <is>
          <t>HOME APPLIANCES</t>
        </is>
      </c>
      <c r="B34" t="n">
        <v>54</v>
      </c>
      <c r="C34" s="9" t="n">
        <v>-0.1898397322386109</v>
      </c>
      <c r="D34" t="n">
        <v>128.9795</v>
      </c>
      <c r="E34" t="n">
        <v>116.7367705208322</v>
      </c>
      <c r="F34" t="n">
        <v>-12.24272947916777</v>
      </c>
      <c r="G34" t="n">
        <v>-2.693010485416909</v>
      </c>
    </row>
    <row r="35">
      <c r="A35" t="inlineStr">
        <is>
          <t>MAGAZINES</t>
        </is>
      </c>
      <c r="B35" t="n">
        <v>312</v>
      </c>
      <c r="C35" s="9" t="n">
        <v>-0.3716165052176578</v>
      </c>
      <c r="D35" t="n">
        <v>1390.1302</v>
      </c>
      <c r="E35" t="n">
        <v>1131.832433912033</v>
      </c>
      <c r="F35" t="n">
        <v>-258.2977660879668</v>
      </c>
      <c r="G35" t="n">
        <v>-56.8251645393527</v>
      </c>
    </row>
    <row r="36">
      <c r="A36" t="inlineStr">
        <is>
          <t>CELEBRATION</t>
        </is>
      </c>
      <c r="B36" t="n">
        <v>928</v>
      </c>
      <c r="C36" s="9" t="n">
        <v>-0.1229767016502218</v>
      </c>
      <c r="D36" t="n">
        <v>5447.5376</v>
      </c>
      <c r="E36" t="n">
        <v>5112.576656361318</v>
      </c>
      <c r="F36" t="n">
        <v>-334.9609436386818</v>
      </c>
      <c r="G36" t="n">
        <v>-73.68943560051</v>
      </c>
    </row>
    <row r="37">
      <c r="A37" t="inlineStr">
        <is>
          <t>PREPARED FOODS</t>
        </is>
      </c>
      <c r="B37" t="n">
        <v>1173</v>
      </c>
      <c r="C37" s="9" t="n">
        <v>-0.08929180204048881</v>
      </c>
      <c r="D37" t="n">
        <v>29459.9728</v>
      </c>
      <c r="E37" t="n">
        <v>28144.70604553347</v>
      </c>
      <c r="F37" t="n">
        <v>-1315.26675446653</v>
      </c>
      <c r="G37" t="n">
        <v>-289.3600699826366</v>
      </c>
    </row>
  </sheetData>
  <mergeCells count="1">
    <mergeCell ref="A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2026-07-15T06:24:38Z</dcterms:created>
  <dcterms:modified xmlns:dcterms="http://purl.org/dc/terms/" xmlns:xsi="http://www.w3.org/2001/XMLSchema-instance" xsi:type="dcterms:W3CDTF">2026-07-15T06:24:38Z</dcterms:modified>
</cp:coreProperties>
</file>